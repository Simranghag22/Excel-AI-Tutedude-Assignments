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hubh\Desktop\Simran\Excel\Assignment-4\"/>
    </mc:Choice>
  </mc:AlternateContent>
  <xr:revisionPtr revIDLastSave="0" documentId="8_{8C427808-EC61-40C4-A3E9-C71203402D88}" xr6:coauthVersionLast="47" xr6:coauthVersionMax="47" xr10:uidLastSave="{00000000-0000-0000-0000-000000000000}"/>
  <bookViews>
    <workbookView xWindow="-108" yWindow="-108" windowWidth="23256" windowHeight="12456" xr2:uid="{0948C4C2-B9B3-45E3-9CDB-973E8D0BFB2C}"/>
  </bookViews>
  <sheets>
    <sheet name="Performance_Report" sheetId="5" r:id="rId1"/>
    <sheet name="Quarterly_Sales" sheetId="4" r:id="rId2"/>
    <sheet name="Employee_info (2)" sheetId="3" r:id="rId3"/>
    <sheet name="Employee_info" sheetId="2" r:id="rId4"/>
  </sheets>
  <definedNames>
    <definedName name="ExternalData_1" localSheetId="2" hidden="1">'Employee_info (2)'!$A$1:$C$5</definedName>
    <definedName name="ExternalData_2" localSheetId="1" hidden="1">Quarterly_Sales!$A$1:$C$5</definedName>
    <definedName name="ExternalData_3" localSheetId="0" hidden="1">Performance_Report!$A$1:$G$5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5" l="1"/>
  <c r="I2" i="5"/>
  <c r="I4" i="5"/>
  <c r="I5" i="5"/>
  <c r="E20" i="5"/>
  <c r="H2" i="5"/>
  <c r="H3" i="5"/>
  <c r="H4" i="5"/>
  <c r="H5" i="5"/>
  <c r="I7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4F0B1A2-38BE-4FA2-A7C8-2CA618264F41}" keepAlive="1" name="Query - Employee_info" description="Connection to the 'Employee_info' query in the workbook." type="5" refreshedVersion="0" background="1">
    <dbPr connection="Provider=Microsoft.Mashup.OleDb.1;Data Source=$Workbook$;Location=Employee_info;Extended Properties=&quot;&quot;" command="SELECT * FROM [Employee_info]"/>
  </connection>
  <connection id="2" xr16:uid="{AED44A53-A6F9-4C05-9980-3E881FED14DA}" keepAlive="1" name="Query - Employee_info (2)" description="Connection to the 'Employee_info (2)' query in the workbook." type="5" refreshedVersion="8" background="1" saveData="1">
    <dbPr connection="Provider=Microsoft.Mashup.OleDb.1;Data Source=$Workbook$;Location=&quot;Employee_info (2)&quot;;Extended Properties=&quot;&quot;" command="SELECT * FROM [Employee_info (2)]"/>
  </connection>
  <connection id="3" xr16:uid="{39AB6735-80C7-4FFF-B762-DEB75CD2D2EA}" keepAlive="1" name="Query - Merge1" description="Connection to the 'Merge1' query in the workbook." type="5" refreshedVersion="8" background="1" saveData="1">
    <dbPr connection="Provider=Microsoft.Mashup.OleDb.1;Data Source=$Workbook$;Location=Merge1;Extended Properties=&quot;&quot;" command="SELECT * FROM [Merge1]"/>
  </connection>
  <connection id="4" xr16:uid="{2D06CE37-3135-4499-8FCC-4A180FE52AB4}" keepAlive="1" name="Query - Quarterly_Sales" description="Connection to the 'Quarterly_Sales' query in the workbook." type="5" refreshedVersion="8" background="1" saveData="1">
    <dbPr connection="Provider=Microsoft.Mashup.OleDb.1;Data Source=$Workbook$;Location=Quarterly_Sales;Extended Properties=&quot;&quot;" command="SELECT * FROM [Quarterly_Sales]"/>
  </connection>
</connections>
</file>

<file path=xl/sharedStrings.xml><?xml version="1.0" encoding="utf-8"?>
<sst xmlns="http://schemas.openxmlformats.org/spreadsheetml/2006/main" count="60" uniqueCount="32">
  <si>
    <t>EmployeeID</t>
  </si>
  <si>
    <t>FullName</t>
  </si>
  <si>
    <t>Department</t>
  </si>
  <si>
    <t>E101</t>
  </si>
  <si>
    <t>Riya Sharma</t>
  </si>
  <si>
    <t>Sales</t>
  </si>
  <si>
    <t>E102</t>
  </si>
  <si>
    <t>Ben Carter</t>
  </si>
  <si>
    <t>Marketing</t>
  </si>
  <si>
    <t>E103</t>
  </si>
  <si>
    <t>Chloe Davis</t>
  </si>
  <si>
    <t>E104</t>
  </si>
  <si>
    <t>David Lee</t>
  </si>
  <si>
    <t>EmpID</t>
  </si>
  <si>
    <t>Q1_Sales</t>
  </si>
  <si>
    <t>Q2_Sales</t>
  </si>
  <si>
    <t>Total_Sales</t>
  </si>
  <si>
    <t>Target</t>
  </si>
  <si>
    <t>Bonus %</t>
  </si>
  <si>
    <t>Rating</t>
  </si>
  <si>
    <t>Bonus_Amount</t>
  </si>
  <si>
    <t>**Please note this version of excel does not support xlookup</t>
  </si>
  <si>
    <t>**I copied this and implemented xlookup in Google Sheets just for the sake of Assignment and attaching the screen shot</t>
  </si>
  <si>
    <t>**Verifying for XLOOKUP</t>
  </si>
  <si>
    <t>** In the current worsksheet I am using VLOOKUP as an alternative for Xlookup</t>
  </si>
  <si>
    <t>IFERROR(G2*VLOOKUP(G2,$K$2:$L$4,2,TRUE),0)</t>
  </si>
  <si>
    <t>Sales_Trend</t>
  </si>
  <si>
    <t>Total Bonus Payout</t>
  </si>
  <si>
    <r>
      <t xml:space="preserve">During the Goal Seek analysis, I attempted to determine the value of </t>
    </r>
    <r>
      <rPr>
        <b/>
        <sz val="11"/>
        <color theme="1"/>
        <rFont val="Calibri"/>
        <family val="2"/>
        <scheme val="minor"/>
      </rPr>
      <t>Riya Sharma's Q2 Sales</t>
    </r>
    <r>
      <rPr>
        <sz val="11"/>
        <color theme="1"/>
        <rFont val="Calibri"/>
        <family val="2"/>
        <scheme val="minor"/>
      </rPr>
      <t xml:space="preserve"> required to achieve a </t>
    </r>
    <r>
      <rPr>
        <b/>
        <sz val="11"/>
        <color theme="1"/>
        <rFont val="Calibri"/>
        <family val="2"/>
        <scheme val="minor"/>
      </rPr>
      <t>Bonus Amount of ₹10,000</t>
    </r>
    <r>
      <rPr>
        <sz val="11"/>
        <color theme="1"/>
        <rFont val="Calibri"/>
        <family val="2"/>
        <scheme val="minor"/>
      </rPr>
      <t>, as specified in the assignment.</t>
    </r>
  </si>
  <si>
    <t>Goal Seek was configured correctly; however, it could not find an exact solution because the Bonus Amount is calculated using tier-based bonus percentages (5%, 8%, and 12%). These percentages change at specific sales thresholds, creating discontinuities in the formula.</t>
  </si>
  <si>
    <r>
      <t xml:space="preserve">As a result, no Total Sales value exists that produces a Bonus Amount of exactly ₹10,000 while satisfying the bonus tier conditions. Therefore, Excel displays the message </t>
    </r>
    <r>
      <rPr>
        <b/>
        <sz val="11"/>
        <color theme="1"/>
        <rFont val="Calibri"/>
        <family val="2"/>
        <scheme val="minor"/>
      </rPr>
      <t>"Goal Seeking may not have found a solution."</t>
    </r>
  </si>
  <si>
    <t>Task 3. 2. Goal Seek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</si>
</sst>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</fonts>
  <fills count="7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4" fillId="0" borderId="0" xfId="0" applyFont="1"/>
    <xf numFmtId="0" fontId="0" fillId="2" borderId="0" xfId="0" applyFill="1"/>
    <xf numFmtId="0" fontId="2" fillId="0" borderId="0" xfId="0" applyFont="1"/>
    <xf numFmtId="0" fontId="3" fillId="3" borderId="1" xfId="0" applyFont="1" applyFill="1" applyBorder="1"/>
    <xf numFmtId="0" fontId="3" fillId="5" borderId="0" xfId="0" applyFont="1" applyFill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3" fillId="4" borderId="0" xfId="0" applyFont="1" applyFill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0" fillId="4" borderId="0" xfId="0" applyFill="1" applyAlignment="1">
      <alignment horizontal="left" wrapText="1"/>
    </xf>
    <xf numFmtId="0" fontId="0" fillId="6" borderId="0" xfId="0" applyFill="1"/>
    <xf numFmtId="0" fontId="0" fillId="6" borderId="0" xfId="0" applyFill="1" applyAlignment="1">
      <alignment horizontal="left"/>
    </xf>
    <xf numFmtId="0" fontId="1" fillId="6" borderId="0" xfId="0" applyFont="1" applyFill="1"/>
    <xf numFmtId="0" fontId="3" fillId="6" borderId="0" xfId="0" applyFont="1" applyFill="1" applyAlignment="1">
      <alignment horizontal="left"/>
    </xf>
  </cellXfs>
  <cellStyles count="1">
    <cellStyle name="Normal" xfId="0" builtinId="0"/>
  </cellStyles>
  <dxfs count="13">
    <dxf>
      <fill>
        <patternFill patternType="solid">
          <fgColor indexed="64"/>
          <bgColor rgb="FF002060"/>
        </patternFill>
      </fill>
    </dxf>
    <dxf>
      <fill>
        <patternFill patternType="solid">
          <fgColor indexed="64"/>
          <bgColor rgb="FF00206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22</xdr:row>
      <xdr:rowOff>49696</xdr:rowOff>
    </xdr:from>
    <xdr:to>
      <xdr:col>11</xdr:col>
      <xdr:colOff>358119</xdr:colOff>
      <xdr:row>51</xdr:row>
      <xdr:rowOff>80596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340B6CA-3CE2-2CA2-35BD-477801B5FC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4325"/>
        <a:stretch>
          <a:fillRect/>
        </a:stretch>
      </xdr:blipFill>
      <xdr:spPr>
        <a:xfrm>
          <a:off x="0" y="4079504"/>
          <a:ext cx="10110254" cy="53429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7326</xdr:rowOff>
    </xdr:from>
    <xdr:to>
      <xdr:col>11</xdr:col>
      <xdr:colOff>395703</xdr:colOff>
      <xdr:row>83</xdr:row>
      <xdr:rowOff>65943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8713FB4-C4ED-A7D9-4A34-968940C30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9532326"/>
          <a:ext cx="10147838" cy="5736982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89</xdr:row>
      <xdr:rowOff>163371</xdr:rowOff>
    </xdr:from>
    <xdr:to>
      <xdr:col>11</xdr:col>
      <xdr:colOff>359020</xdr:colOff>
      <xdr:row>118</xdr:row>
      <xdr:rowOff>86955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107ADA0-41E8-8CF8-E2CB-0ABEF97D9D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" y="16641621"/>
          <a:ext cx="10111154" cy="5609276"/>
        </a:xfrm>
        <a:prstGeom prst="rect">
          <a:avLst/>
        </a:prstGeom>
      </xdr:spPr>
    </xdr:pic>
    <xdr:clientData/>
  </xdr:twoCellAnchor>
  <xdr:twoCellAnchor>
    <xdr:from>
      <xdr:col>1</xdr:col>
      <xdr:colOff>2</xdr:colOff>
      <xdr:row>7</xdr:row>
      <xdr:rowOff>14654</xdr:rowOff>
    </xdr:from>
    <xdr:to>
      <xdr:col>3</xdr:col>
      <xdr:colOff>36635</xdr:colOff>
      <xdr:row>9</xdr:row>
      <xdr:rowOff>36635</xdr:rowOff>
    </xdr:to>
    <xdr:sp macro="[0]!ApplyReportStyle" textlink="">
      <xdr:nvSpPr>
        <xdr:cNvPr id="5" name="Rectangle 4">
          <a:extLst>
            <a:ext uri="{FF2B5EF4-FFF2-40B4-BE49-F238E27FC236}">
              <a16:creationId xmlns:a16="http://schemas.microsoft.com/office/drawing/2014/main" id="{D222FE7B-CE06-33BA-5632-19A2EAAB6A2F}"/>
            </a:ext>
          </a:extLst>
        </xdr:cNvPr>
        <xdr:cNvSpPr/>
      </xdr:nvSpPr>
      <xdr:spPr>
        <a:xfrm>
          <a:off x="915867" y="1296866"/>
          <a:ext cx="1729153" cy="38832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aseline="0"/>
            <a:t>            </a:t>
          </a:r>
          <a:r>
            <a:rPr lang="en-IN" sz="1100" b="1" baseline="0"/>
            <a:t>Format Report</a:t>
          </a:r>
          <a:endParaRPr lang="en-IN" sz="1100" b="1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C96F8668-4351-4E87-B76E-0A5A2B5DA31F}" autoFormatId="16" applyNumberFormats="0" applyBorderFormats="0" applyFontFormats="0" applyPatternFormats="0" applyAlignmentFormats="0" applyWidthHeightFormats="0">
  <queryTableRefresh nextId="11" unboundColumnsRight="3">
    <queryTableFields count="10">
      <queryTableField id="1" name="EmployeeID" tableColumnId="1"/>
      <queryTableField id="2" name="FullName" tableColumnId="2"/>
      <queryTableField id="3" name="Department" tableColumnId="3"/>
      <queryTableField id="4" name="EmpID" tableColumnId="4"/>
      <queryTableField id="5" name="Q1_Sales" tableColumnId="5"/>
      <queryTableField id="6" name="Q2_Sales" tableColumnId="6"/>
      <queryTableField id="7" name="Total_Sales" tableColumnId="7"/>
      <queryTableField id="8" dataBound="0" tableColumnId="8"/>
      <queryTableField id="9" dataBound="0" tableColumnId="9"/>
      <queryTableField id="10" dataBound="0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99B3C748-A4DA-4B39-92FE-691E9F640F0F}" autoFormatId="16" applyNumberFormats="0" applyBorderFormats="0" applyFontFormats="0" applyPatternFormats="0" applyAlignmentFormats="0" applyWidthHeightFormats="0">
  <queryTableRefresh nextId="4">
    <queryTableFields count="3">
      <queryTableField id="1" name="EmpID" tableColumnId="1"/>
      <queryTableField id="2" name="Q1_Sales" tableColumnId="2"/>
      <queryTableField id="3" name="Q2_Sales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739D196D-33CC-42BD-AA61-6F1A804B06BE}" autoFormatId="16" applyNumberFormats="0" applyBorderFormats="0" applyFontFormats="0" applyPatternFormats="0" applyAlignmentFormats="0" applyWidthHeightFormats="0">
  <queryTableRefresh nextId="4">
    <queryTableFields count="3">
      <queryTableField id="1" name="EmployeeID" tableColumnId="1"/>
      <queryTableField id="2" name="FullName" tableColumnId="2"/>
      <queryTableField id="3" name="Department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95269A-57D6-4769-952A-4BA08EF52853}" name="Merge1" displayName="Merge1" ref="A1:J5" tableType="queryTable" totalsRowShown="0" headerRowDxfId="1">
  <autoFilter ref="A1:J5" xr:uid="{BC95269A-57D6-4769-952A-4BA08EF52853}"/>
  <tableColumns count="10">
    <tableColumn id="1" xr3:uid="{46538659-05D2-49F1-BE6D-6828AE50BEDD}" uniqueName="1" name="EmployeeID" queryTableFieldId="1" dataDxfId="7"/>
    <tableColumn id="2" xr3:uid="{165F7802-F7D0-4B08-8070-6AE4FAB397D4}" uniqueName="2" name="FullName" queryTableFieldId="2" dataDxfId="6"/>
    <tableColumn id="3" xr3:uid="{D86D48FF-9B42-4DD2-8918-1F4E551CD638}" uniqueName="3" name="Department" queryTableFieldId="3" dataDxfId="5"/>
    <tableColumn id="4" xr3:uid="{5F71FCE4-080F-4F1A-92BB-B832FF8E0E3C}" uniqueName="4" name="EmpID" queryTableFieldId="4" dataDxfId="4"/>
    <tableColumn id="5" xr3:uid="{7DC0837B-E994-45A6-B9D5-E8FBE9B80453}" uniqueName="5" name="Q1_Sales" queryTableFieldId="5"/>
    <tableColumn id="6" xr3:uid="{42744C18-6F31-49E1-A079-7428E2408EAB}" uniqueName="6" name="Q2_Sales" queryTableFieldId="6"/>
    <tableColumn id="7" xr3:uid="{4667057C-518C-4112-8676-531835CE697A}" uniqueName="7" name="Total_Sales" queryTableFieldId="7"/>
    <tableColumn id="8" xr3:uid="{CA58102A-DD8B-49FA-8B34-2C7B673FDDF7}" uniqueName="8" name="Rating" queryTableFieldId="8" dataDxfId="3">
      <calculatedColumnFormula>_xlfn.IFS(G2&gt;180000,"Excellent",G2&gt;150000,"Good",G2&gt;100000,"Meets Expectations",TRUE,"Needs Improvement")</calculatedColumnFormula>
    </tableColumn>
    <tableColumn id="9" xr3:uid="{622D49CA-5CCE-4758-8DC3-618A7A4448A9}" uniqueName="9" name="Bonus_Amount" queryTableFieldId="9" dataDxfId="2">
      <calculatedColumnFormula>IFERROR(G2*VLOOKUP(G2,$K$2:$L$4,2,TRUE),0)</calculatedColumnFormula>
    </tableColumn>
    <tableColumn id="10" xr3:uid="{AD20B02C-18A5-4BA2-B357-4837ACD24AEC}" uniqueName="10" name="Sales_Trend" queryTableField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ABAE0F-77C9-41EF-9D72-34960924F9D6}" name="Table5" displayName="Table5" ref="K1:L4" totalsRowShown="0" headerRowDxfId="0">
  <autoFilter ref="K1:L4" xr:uid="{F0ABAE0F-77C9-41EF-9D72-34960924F9D6}"/>
  <tableColumns count="2">
    <tableColumn id="1" xr3:uid="{4F36E3BF-CE12-4544-9EA1-2727DAFC78F2}" name="Target"/>
    <tableColumn id="2" xr3:uid="{15840D81-AED8-4C61-88BE-F346A544C78D}" name="Bonus %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1F38E9-509D-4BB4-BD13-108B3B6B48A7}" name="Quarterly_Sales" displayName="Quarterly_Sales" ref="A1:C5" tableType="queryTable" totalsRowShown="0">
  <autoFilter ref="A1:C5" xr:uid="{AE1F38E9-509D-4BB4-BD13-108B3B6B48A7}"/>
  <tableColumns count="3">
    <tableColumn id="1" xr3:uid="{A855C2D0-8B10-427F-BD72-97619699689B}" uniqueName="1" name="EmpID" queryTableFieldId="1" dataDxfId="9"/>
    <tableColumn id="2" xr3:uid="{570084E4-B5EB-40F7-B604-B8B4F655E6B6}" uniqueName="2" name="Q1_Sales" queryTableFieldId="2"/>
    <tableColumn id="3" xr3:uid="{9A7C6FE5-6AAE-477E-AB8A-F675087FD741}" uniqueName="3" name="Q2_Sales" queryTableFieldId="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EF8F02B-84F4-48B0-BF92-78FB8141189B}" name="Employee_info__2" displayName="Employee_info__2" ref="A1:C5" tableType="queryTable" totalsRowShown="0">
  <autoFilter ref="A1:C5" xr:uid="{9EF8F02B-84F4-48B0-BF92-78FB8141189B}"/>
  <tableColumns count="3">
    <tableColumn id="1" xr3:uid="{44E0828D-D320-4863-B82B-4AF4471952A2}" uniqueName="1" name="EmployeeID" queryTableFieldId="1" dataDxfId="12"/>
    <tableColumn id="2" xr3:uid="{B5766D65-0CAD-4E54-9A00-AF52BB5B8E1E}" uniqueName="2" name="FullName" queryTableFieldId="2" dataDxfId="11"/>
    <tableColumn id="3" xr3:uid="{5E5299FA-86BB-40F2-B239-D44933D5AB1C}" uniqueName="3" name="Department" queryTableFieldId="3" dataDxf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40F45-EF4B-4F51-926C-8893EC5B250D}">
  <dimension ref="A1:O118"/>
  <sheetViews>
    <sheetView tabSelected="1" topLeftCell="C1" zoomScale="104" workbookViewId="0">
      <selection activeCell="I2" sqref="I2"/>
    </sheetView>
  </sheetViews>
  <sheetFormatPr defaultRowHeight="14.4"/>
  <cols>
    <col min="1" max="1" width="13.33203125" bestFit="1" customWidth="1"/>
    <col min="2" max="2" width="11.21875" bestFit="1" customWidth="1"/>
    <col min="3" max="3" width="13.44140625" bestFit="1" customWidth="1"/>
    <col min="4" max="4" width="8.77734375" bestFit="1" customWidth="1"/>
    <col min="5" max="6" width="10.88671875" bestFit="1" customWidth="1"/>
    <col min="7" max="7" width="12.6640625" bestFit="1" customWidth="1"/>
    <col min="8" max="8" width="18" bestFit="1" customWidth="1"/>
    <col min="9" max="9" width="16.44140625" bestFit="1" customWidth="1"/>
    <col min="10" max="10" width="13.33203125" bestFit="1" customWidth="1"/>
    <col min="11" max="11" width="13.109375" customWidth="1"/>
    <col min="12" max="12" width="12.5546875" customWidth="1"/>
  </cols>
  <sheetData>
    <row r="1" spans="1:15" s="16" customFormat="1">
      <c r="A1" s="18" t="s">
        <v>0</v>
      </c>
      <c r="B1" s="18" t="s">
        <v>1</v>
      </c>
      <c r="C1" s="19" t="s">
        <v>2</v>
      </c>
      <c r="D1" s="17" t="s">
        <v>13</v>
      </c>
      <c r="E1" s="17" t="s">
        <v>14</v>
      </c>
      <c r="F1" s="17" t="s">
        <v>15</v>
      </c>
      <c r="G1" s="17" t="s">
        <v>16</v>
      </c>
      <c r="H1" s="17" t="s">
        <v>19</v>
      </c>
      <c r="I1" s="16" t="s">
        <v>20</v>
      </c>
      <c r="J1" s="16" t="s">
        <v>26</v>
      </c>
      <c r="K1" s="16" t="s">
        <v>17</v>
      </c>
      <c r="L1" s="16" t="s">
        <v>18</v>
      </c>
    </row>
    <row r="2" spans="1:15">
      <c r="A2" s="1" t="s">
        <v>3</v>
      </c>
      <c r="B2" s="1" t="s">
        <v>4</v>
      </c>
      <c r="C2" s="1" t="s">
        <v>5</v>
      </c>
      <c r="D2" s="1" t="s">
        <v>3</v>
      </c>
      <c r="E2">
        <v>75000</v>
      </c>
      <c r="F2">
        <v>82000</v>
      </c>
      <c r="G2">
        <v>157000</v>
      </c>
      <c r="H2" t="str">
        <f t="shared" ref="H2:H5" si="0">_xlfn.IFS(G2&gt;180000,"Excellent",G2&gt;150000,"Good",G2&gt;100000,"Meets Expectations",TRUE,"Needs Improvement")</f>
        <v>Good</v>
      </c>
      <c r="I2">
        <f>IFERROR(G2*VLOOKUP(G2,$K$2:$L$4,2,TRUE),0)</f>
        <v>12560</v>
      </c>
      <c r="K2" s="4">
        <v>100000</v>
      </c>
      <c r="L2" s="2">
        <v>0.05</v>
      </c>
    </row>
    <row r="3" spans="1:15">
      <c r="A3" s="1" t="s">
        <v>6</v>
      </c>
      <c r="B3" s="1" t="s">
        <v>7</v>
      </c>
      <c r="C3" s="1" t="s">
        <v>8</v>
      </c>
      <c r="D3" s="1" t="s">
        <v>6</v>
      </c>
      <c r="E3">
        <v>55000</v>
      </c>
      <c r="F3">
        <v>58000</v>
      </c>
      <c r="G3">
        <v>113000</v>
      </c>
      <c r="H3" t="str">
        <f t="shared" si="0"/>
        <v>Meets Expectations</v>
      </c>
      <c r="I3">
        <f>IFERROR(G3*VLOOKUP(G3,$K$2:$L$4,2,TRUE),0)</f>
        <v>5650</v>
      </c>
      <c r="K3" s="4">
        <v>150000</v>
      </c>
      <c r="L3" s="2">
        <v>0.08</v>
      </c>
    </row>
    <row r="4" spans="1:15">
      <c r="A4" s="1" t="s">
        <v>9</v>
      </c>
      <c r="B4" s="1" t="s">
        <v>10</v>
      </c>
      <c r="C4" s="1" t="s">
        <v>5</v>
      </c>
      <c r="D4" s="1" t="s">
        <v>9</v>
      </c>
      <c r="E4">
        <v>95000</v>
      </c>
      <c r="F4">
        <v>99000</v>
      </c>
      <c r="G4">
        <v>194000</v>
      </c>
      <c r="H4" t="str">
        <f t="shared" si="0"/>
        <v>Excellent</v>
      </c>
      <c r="I4">
        <f t="shared" ref="I2:I5" si="1">IFERROR(G4*VLOOKUP(G4,$K$2:$L$4,2,TRUE),0)</f>
        <v>23280</v>
      </c>
      <c r="K4" s="4">
        <v>180000</v>
      </c>
      <c r="L4" s="2">
        <v>0.12</v>
      </c>
      <c r="O4" s="5"/>
    </row>
    <row r="5" spans="1:15">
      <c r="A5" s="1" t="s">
        <v>11</v>
      </c>
      <c r="B5" s="1" t="s">
        <v>12</v>
      </c>
      <c r="C5" s="1" t="s">
        <v>8</v>
      </c>
      <c r="D5" s="1" t="s">
        <v>11</v>
      </c>
      <c r="E5">
        <v>48000</v>
      </c>
      <c r="F5">
        <v>51000</v>
      </c>
      <c r="G5">
        <v>99000</v>
      </c>
      <c r="H5" t="str">
        <f t="shared" si="0"/>
        <v>Needs Improvement</v>
      </c>
      <c r="I5">
        <f t="shared" si="1"/>
        <v>0</v>
      </c>
    </row>
    <row r="7" spans="1:15">
      <c r="H7" s="8" t="s">
        <v>27</v>
      </c>
      <c r="I7" s="8">
        <f>SUM(Merge1[Bonus_Amount])</f>
        <v>41490</v>
      </c>
    </row>
    <row r="15" spans="1:15">
      <c r="C15" s="7"/>
    </row>
    <row r="16" spans="1:15">
      <c r="C16" s="7" t="s">
        <v>21</v>
      </c>
    </row>
    <row r="17" spans="3:9">
      <c r="C17" s="7" t="s">
        <v>22</v>
      </c>
    </row>
    <row r="18" spans="3:9">
      <c r="C18" s="7" t="s">
        <v>24</v>
      </c>
      <c r="I18" t="s">
        <v>25</v>
      </c>
    </row>
    <row r="20" spans="3:9">
      <c r="C20" s="6" t="s">
        <v>23</v>
      </c>
      <c r="D20" s="6"/>
      <c r="E20" s="6" t="e">
        <f ca="1">XLOOKUP(G2,$K$2:$K$4,$L$2:$L$4,"No Match",-1)</f>
        <v>#NAME?</v>
      </c>
    </row>
    <row r="85" spans="1:11">
      <c r="A85" s="9" t="s">
        <v>31</v>
      </c>
      <c r="B85" s="9"/>
      <c r="C85" s="9"/>
    </row>
    <row r="87" spans="1:11">
      <c r="A87" s="11" t="s">
        <v>28</v>
      </c>
      <c r="B87" s="11"/>
      <c r="C87" s="11"/>
      <c r="D87" s="11"/>
      <c r="E87" s="11"/>
      <c r="F87" s="11"/>
      <c r="G87" s="11"/>
      <c r="H87" s="11"/>
      <c r="I87" s="11"/>
      <c r="J87" s="11"/>
      <c r="K87" s="11"/>
    </row>
    <row r="88" spans="1:11">
      <c r="A88" s="10" t="s">
        <v>29</v>
      </c>
      <c r="B88" s="10"/>
      <c r="C88" s="10"/>
      <c r="D88" s="10"/>
      <c r="E88" s="10"/>
      <c r="F88" s="10"/>
      <c r="G88" s="10"/>
      <c r="H88" s="10"/>
      <c r="I88" s="10"/>
      <c r="J88" s="10"/>
      <c r="K88" s="10"/>
    </row>
    <row r="89" spans="1:11" ht="28.2" customHeight="1">
      <c r="A89" s="10" t="s">
        <v>30</v>
      </c>
      <c r="B89" s="10"/>
      <c r="C89" s="10"/>
      <c r="D89" s="10"/>
      <c r="E89" s="10"/>
      <c r="F89" s="10"/>
      <c r="G89" s="10"/>
      <c r="H89" s="10"/>
      <c r="I89" s="10"/>
      <c r="J89" s="10"/>
      <c r="K89" s="10"/>
    </row>
    <row r="113" spans="1:11">
      <c r="A113" s="12"/>
      <c r="B113" s="12"/>
      <c r="C113" s="12"/>
      <c r="D113" s="13"/>
      <c r="E113" s="13"/>
      <c r="F113" s="13"/>
      <c r="G113" s="13"/>
      <c r="H113" s="13"/>
      <c r="I113" s="13"/>
      <c r="J113" s="13"/>
      <c r="K113" s="13"/>
    </row>
    <row r="114" spans="1:1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</row>
    <row r="115" spans="1:11" ht="17.399999999999999" customHeight="1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</row>
    <row r="116" spans="1:11" ht="26.4" customHeight="1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</row>
    <row r="117" spans="1:11" ht="28.8" customHeight="1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</row>
    <row r="118" spans="1:1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</row>
  </sheetData>
  <mergeCells count="8">
    <mergeCell ref="A113:C113"/>
    <mergeCell ref="A115:K115"/>
    <mergeCell ref="A116:K116"/>
    <mergeCell ref="A117:K117"/>
    <mergeCell ref="A85:C85"/>
    <mergeCell ref="A87:K87"/>
    <mergeCell ref="A88:K88"/>
    <mergeCell ref="A89:K89"/>
  </mergeCells>
  <pageMargins left="0.7" right="0.7" top="0.75" bottom="0.75" header="0.3" footer="0.3"/>
  <pageSetup orientation="portrait" r:id="rId1"/>
  <drawing r:id="rId2"/>
  <tableParts count="2">
    <tablePart r:id="rId3"/>
    <tablePart r:id="rId4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66AAC589-3B78-43A6-B0BA-3948FAB6529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Performance_Report!E5:F5</xm:f>
              <xm:sqref>J5</xm:sqref>
            </x14:sparkline>
          </x14:sparklines>
        </x14:sparklineGroup>
        <x14:sparklineGroup displayEmptyCellsAs="gap" xr2:uid="{E39A11B3-D42D-4C13-A5CA-F0F7D0CB720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Performance_Report!E4:F4</xm:f>
              <xm:sqref>J4</xm:sqref>
            </x14:sparkline>
          </x14:sparklines>
        </x14:sparklineGroup>
        <x14:sparklineGroup displayEmptyCellsAs="gap" xr2:uid="{4E9C5DEC-A93A-4EB6-B117-8ED81B7C194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Performance_Report!E3:F3</xm:f>
              <xm:sqref>J3</xm:sqref>
            </x14:sparkline>
          </x14:sparklines>
        </x14:sparklineGroup>
        <x14:sparklineGroup displayEmptyCellsAs="gap" xr2:uid="{F8874C12-CDA9-453A-A923-E3A493ABFC3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Performance_Report!E2:F2</xm:f>
              <xm:sqref>J2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09F96-18EE-42F5-8B8C-9441F987AE95}">
  <dimension ref="A1:C5"/>
  <sheetViews>
    <sheetView workbookViewId="0"/>
  </sheetViews>
  <sheetFormatPr defaultRowHeight="14.4"/>
  <cols>
    <col min="1" max="1" width="8.77734375" bestFit="1" customWidth="1"/>
    <col min="2" max="3" width="10.77734375" bestFit="1" customWidth="1"/>
  </cols>
  <sheetData>
    <row r="1" spans="1:3">
      <c r="A1" t="s">
        <v>13</v>
      </c>
      <c r="B1" t="s">
        <v>14</v>
      </c>
      <c r="C1" t="s">
        <v>15</v>
      </c>
    </row>
    <row r="2" spans="1:3">
      <c r="A2" s="1" t="s">
        <v>3</v>
      </c>
      <c r="B2">
        <v>75000</v>
      </c>
      <c r="C2">
        <v>82000</v>
      </c>
    </row>
    <row r="3" spans="1:3">
      <c r="A3" s="1" t="s">
        <v>6</v>
      </c>
      <c r="B3">
        <v>55000</v>
      </c>
      <c r="C3">
        <v>58000</v>
      </c>
    </row>
    <row r="4" spans="1:3">
      <c r="A4" s="1" t="s">
        <v>9</v>
      </c>
      <c r="B4">
        <v>95000</v>
      </c>
      <c r="C4">
        <v>99000</v>
      </c>
    </row>
    <row r="5" spans="1:3">
      <c r="A5" s="1" t="s">
        <v>11</v>
      </c>
      <c r="B5">
        <v>48000</v>
      </c>
      <c r="C5">
        <v>51000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11E0F-DC66-4A08-B198-09E9E34B2914}">
  <dimension ref="A1:C5"/>
  <sheetViews>
    <sheetView workbookViewId="0"/>
  </sheetViews>
  <sheetFormatPr defaultRowHeight="14.4"/>
  <cols>
    <col min="1" max="1" width="13.33203125" bestFit="1" customWidth="1"/>
    <col min="2" max="2" width="11.109375" bestFit="1" customWidth="1"/>
    <col min="3" max="3" width="13.33203125" bestFit="1" customWidth="1"/>
  </cols>
  <sheetData>
    <row r="1" spans="1:3">
      <c r="A1" t="s">
        <v>0</v>
      </c>
      <c r="B1" t="s">
        <v>1</v>
      </c>
      <c r="C1" t="s">
        <v>2</v>
      </c>
    </row>
    <row r="2" spans="1:3">
      <c r="A2" s="1" t="s">
        <v>3</v>
      </c>
      <c r="B2" s="1" t="s">
        <v>4</v>
      </c>
      <c r="C2" s="1" t="s">
        <v>5</v>
      </c>
    </row>
    <row r="3" spans="1:3">
      <c r="A3" s="1" t="s">
        <v>6</v>
      </c>
      <c r="B3" s="1" t="s">
        <v>7</v>
      </c>
      <c r="C3" s="1" t="s">
        <v>8</v>
      </c>
    </row>
    <row r="4" spans="1:3">
      <c r="A4" s="1" t="s">
        <v>9</v>
      </c>
      <c r="B4" s="1" t="s">
        <v>10</v>
      </c>
      <c r="C4" s="1" t="s">
        <v>5</v>
      </c>
    </row>
    <row r="5" spans="1:3">
      <c r="A5" s="1" t="s">
        <v>11</v>
      </c>
      <c r="B5" s="1" t="s">
        <v>12</v>
      </c>
      <c r="C5" s="1" t="s">
        <v>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4FA0E-EEC3-4A41-8BDC-41A7EF42800C}">
  <dimension ref="A2:A6"/>
  <sheetViews>
    <sheetView workbookViewId="0">
      <selection sqref="A1:A6"/>
    </sheetView>
  </sheetViews>
  <sheetFormatPr defaultRowHeight="14.4"/>
  <cols>
    <col min="1" max="1" width="29.6640625" bestFit="1" customWidth="1"/>
  </cols>
  <sheetData>
    <row r="2" spans="1:1">
      <c r="A2" s="1"/>
    </row>
    <row r="3" spans="1:1">
      <c r="A3" s="1"/>
    </row>
    <row r="4" spans="1:1">
      <c r="A4" s="1"/>
    </row>
    <row r="5" spans="1:1">
      <c r="A5" s="1"/>
    </row>
    <row r="6" spans="1:1">
      <c r="A6" s="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F79FC06-5ABA-4EAD-A263-A896670E7D9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Performance_Report</vt:lpstr>
      <vt:lpstr>Quarterly_Sales</vt:lpstr>
      <vt:lpstr>Employee_info (2)</vt:lpstr>
      <vt:lpstr>Employee_info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Simran Ghag</dc:creator>
  <cp:lastModifiedBy>Simran Ghag</cp:lastModifiedBy>
  <dcterms:created xsi:type="dcterms:W3CDTF">2026-06-11T03:50:27Z</dcterms:created>
  <dcterms:modified xsi:type="dcterms:W3CDTF">2026-06-11T05:54:57Z</dcterms:modified>
</cp:coreProperties>
</file>